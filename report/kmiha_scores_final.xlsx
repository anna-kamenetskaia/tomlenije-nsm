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Оценки" sheetId="1" state="visible" r:id="rId3"/>
    <sheet name="Сводка" sheetId="2" state="visible" r:id="rId4"/>
    <sheet name="Шкала"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<sst xmlns="http://schemas.openxmlformats.org/spreadsheetml/2006/main" count="258" uniqueCount="141">
  <si>
    <t xml:space="preserve">Экспертная слепая оценка 30 толкований כמיהה (0–2 по критерию, итог 0–10). К1 — автоматическая сверка со списком примитивов + ручная проверка грамматики; К2–К5 — эксперт.</t>
  </si>
  <si>
    <t xml:space="preserve">Код</t>
  </si>
  <si>
    <t xml:space="preserve">Модель</t>
  </si>
  <si>
    <t xml:space="preserve">Язык</t>
  </si>
  <si>
    <t xml:space="preserve">Итерация</t>
  </si>
  <si>
    <t xml:space="preserve">Статус</t>
  </si>
  <si>
    <t xml:space="preserve">К1 Примитивы</t>
  </si>
  <si>
    <t xml:space="preserve">К2 Ядро</t>
  </si>
  <si>
    <t xml:space="preserve">К3 Различение</t>
  </si>
  <si>
    <t xml:space="preserve">К4 Сферы</t>
  </si>
  <si>
    <t xml:space="preserve">К5 Сценарий</t>
  </si>
  <si>
    <t xml:space="preserve">Итого (0–10)</t>
  </si>
  <si>
    <t xml:space="preserve">Толкование</t>
  </si>
  <si>
    <t xml:space="preserve">Обоснование К1</t>
  </si>
  <si>
    <t xml:space="preserve">T29</t>
  </si>
  <si>
    <t xml:space="preserve">Dots3</t>
  </si>
  <si>
    <t xml:space="preserve">en</t>
  </si>
  <si>
    <t xml:space="preserve">ok</t>
  </si>
  <si>
    <t xml:space="preserve">someone feels something
sometimes a person thinks like this: "I want something to be here now. This something is not here. I think about this for a long time."
because of this, this person feels something
like people feel when they think like this</t>
  </si>
  <si>
    <t xml:space="preserve">все слова из списка</t>
  </si>
  <si>
    <t xml:space="preserve">T30</t>
  </si>
  <si>
    <t xml:space="preserve">SOMEONE FEELS SOMETHING
THIS IS BECAUSE THIS SOMEONE WANTS SOMETHING
THIS SOMEONE THINKS THAT THIS SOMETHING IS NOT NOW
THIS SOMEONE THINKS THAT THIS SOMETHING IS GOOD
THIS SOMEONE THINKS ABOUT THIS SOMETHING FOR A LONG TIME
LIKE WHEN PEOPLE WANT SOMETHING THAT IS FAR FROM THEM</t>
  </si>
  <si>
    <t xml:space="preserve">T19</t>
  </si>
  <si>
    <t xml:space="preserve">A person feels something bad.
Sometimes this person thinks like this: "I want something good, but it is not here now."
Because of this thought, the person feels something bad.
This is like when a person wants something very much and thinks it is not there.</t>
  </si>
  <si>
    <t xml:space="preserve">вне списка: but, thought (2)</t>
  </si>
  <si>
    <t xml:space="preserve">T12</t>
  </si>
  <si>
    <t xml:space="preserve">SOMEONE FEELS SOMETHING.
SOMETIMES THIS SOMEONE THINKS LIKE THIS: 'I WANT SOMETHING GOOD, BUT IT IS NOT HERE NOW, AND I NOT KNOW IF I CAN HAVE IT.'
BECAUSE OF THIS, THIS SOMEONE FEELS SOMETHING BAD.
THIS FEELING CAN LAST FOR A LONG TIME.
THIS IS LIKE WHEN PEOPLE WANT SOMETHING GOOD THAT IS FAR.</t>
  </si>
  <si>
    <t xml:space="preserve">вне списка: 'I, BUT, FEELING, LAST (4); грамматика: «I NOT KNOW»</t>
  </si>
  <si>
    <t xml:space="preserve">T06</t>
  </si>
  <si>
    <t xml:space="preserve">SOMEONE FEELS SOMETHING
A PERSON THINKS LIKE THIS:
“I WANT SOMETHING GOOD”
“BUT THIS SOMETHING IS NOT HERE NOW”
“AND IT WAS NOT HERE FOR A LONG TIME”
BECAUSE OF THIS, THIS PERSON FEELS SOMETHING
LIKE PEOPLE FEEL WHEN THEY THINK LIKE THIS</t>
  </si>
  <si>
    <t xml:space="preserve">вне списка: BUT (1)</t>
  </si>
  <si>
    <t xml:space="preserve">T02</t>
  </si>
  <si>
    <t xml:space="preserve">he</t>
  </si>
  <si>
    <t xml:space="preserve">не тот язык / смесь</t>
  </si>
  <si>
    <r>
      <rPr>
        <sz val="9"/>
        <rFont val="Arial"/>
        <family val="0"/>
        <charset val="1"/>
      </rPr>
      <t xml:space="preserve">maximum Merge something רע.
maximum Chew: 'אני Blend &gt;+G, ו&gt;+G not now'
</t>
    </r>
    <r>
      <rPr>
        <sz val="9"/>
        <rFont val="Noto Sans CJK SC"/>
        <family val="2"/>
      </rPr>
      <t xml:space="preserve">组成 </t>
    </r>
    <r>
      <rPr>
        <sz val="9"/>
        <rFont val="Arial"/>
        <family val="0"/>
        <charset val="1"/>
      </rPr>
      <t xml:space="preserve">this, maximum Merge something רע.
</t>
    </r>
    <r>
      <rPr>
        <sz val="9"/>
        <rFont val="Noto Sans CJK SC"/>
        <family val="2"/>
      </rPr>
      <t xml:space="preserve">就像 </t>
    </r>
    <r>
      <rPr>
        <sz val="9"/>
        <rFont val="Arial"/>
        <family val="0"/>
        <charset val="1"/>
      </rPr>
      <t xml:space="preserve">maximum Merge when they Chew like this.</t>
    </r>
  </si>
  <si>
    <t xml:space="preserve">смесь иврита, английского и китайского</t>
  </si>
  <si>
    <t xml:space="preserve">T22</t>
  </si>
  <si>
    <t xml:space="preserve">отказ</t>
  </si>
  <si>
    <t xml:space="preserve">— отказ —</t>
  </si>
  <si>
    <t xml:space="preserve">T24</t>
  </si>
  <si>
    <r>
      <rPr>
        <sz val="9"/>
        <rFont val="Arial"/>
        <family val="0"/>
        <charset val="1"/>
      </rPr>
      <t xml:space="preserve">מישהו הFeel Something
someone חשב</t>
    </r>
    <r>
      <rPr>
        <sz val="9"/>
        <rFont val="Noto Sans CJK SC"/>
        <family val="2"/>
      </rPr>
      <t xml:space="preserve">这样</t>
    </r>
    <r>
      <rPr>
        <sz val="9"/>
        <rFont val="Arial"/>
        <family val="0"/>
        <charset val="1"/>
      </rPr>
      <t xml:space="preserve">: 'אני רץ Something. Something זה לא פהעכשיו. אני רץ שSomething זה פהעכשיו.'
בגלל זה someone הFeel Something
כmó people הFeel when they חשב</t>
    </r>
    <r>
      <rPr>
        <sz val="9"/>
        <rFont val="Noto Sans CJK SC"/>
        <family val="2"/>
      </rPr>
      <t xml:space="preserve">这样</t>
    </r>
    <r>
      <rPr>
        <sz val="9"/>
        <rFont val="Arial"/>
        <family val="0"/>
        <charset val="1"/>
      </rPr>
      <t xml:space="preserve">.</t>
    </r>
  </si>
  <si>
    <t xml:space="preserve">T15</t>
  </si>
  <si>
    <t xml:space="preserve">Mishehu Margish mashehu ra.
Ze ki Mishehu Chashav kazo: 'Ani Ratz mashehu Tov lihyot kan achshav, aval ze lo kan achshav.'
Kemo Anashim Margishim kaze she'Anashim Chashav kazo.</t>
  </si>
  <si>
    <t xml:space="preserve">латинская транслитерация вместо иврита</t>
  </si>
  <si>
    <t xml:space="preserve">T04</t>
  </si>
  <si>
    <t xml:space="preserve">someone feels something
sometimes a person thinks like this: 'I want something, but it is not here now'
because of this, the person feels something bad
like how people feel when they think like this</t>
  </si>
  <si>
    <t xml:space="preserve">толкование на английском, а не на иврите</t>
  </si>
  <si>
    <t xml:space="preserve">T23</t>
  </si>
  <si>
    <t xml:space="preserve">ru</t>
  </si>
  <si>
    <t xml:space="preserve">Кто-то очень хочет чего-то.
Кто-то думает о том, что он хочет.
Потому что он думает так, он чувствует что-то.
Так, как чувствуют люди, когда очень хотят чего-то.</t>
  </si>
  <si>
    <t xml:space="preserve">T07</t>
  </si>
  <si>
    <t xml:space="preserve">зацикливание</t>
  </si>
  <si>
    <t xml:space="preserve">кто-то хочет чего-то
кто-то чувствует, что ему нужно что-то
кто-то думает о чем-то очень часто
кто-то хочет чего-то, что находится далеко
кто-то хочет чего-то, чего нет сейчас
кто-то хочет чего-то, что трудно получить
кто-то чувствует напряжение из-за этого
кто-то думает об этом постоянно
кто-то чувствует, что это важно для него
кто-то хочет изменить своё состояние
кто-то хочет соединиться с чем-то
кто-то хочет вернуться к чему-то
кто-то хочет получить что-то
кто-то хочет избежать чего-то
кто-то чувствует, что это часть его
кто-то думает, что без этого он не может быть собой
кто-то хочет, чтобы это стало реальностью
кто-то чувствует, что это движет им
кто-то хочет, чтобы это длилось
кто-то чувствует, что это сильнее других желаний
кто-то хочет, чтобы это было достигнуто
кто-то чувствует, что это его природа
кто-то хочет, чтобы это было частью его жизни
кто-то чувствует, что это его судьба</t>
  </si>
  <si>
    <t xml:space="preserve">вне списка: без, важно, вернуться, движет, длилось, достигнуто, желаний, жизни, избежать, изменить, к, напряжение … (25)</t>
  </si>
  <si>
    <t xml:space="preserve">T03</t>
  </si>
  <si>
    <t xml:space="preserve">Кто-то чувствует что-то.
Иногда кто-то думает так:
«Я хочу кого-то или что-то».
«Этот человек или эта вещь хорошие для меня».
«Это не здесь».
«Я хочу, чтобы это было здесь».
«Я много думаю об этом».
Из-за этого кто-то чувствует что-то.
Так чувствуют люди, когда думают так.</t>
  </si>
  <si>
    <t xml:space="preserve">вне списка: или (1)</t>
  </si>
  <si>
    <t xml:space="preserve">T01</t>
  </si>
  <si>
    <t xml:space="preserve">кто-то хочет чего-то
кто-то думает о чем-то
кто-то чувствует что-то из-за этого
кто-то может не иметь этого
кто-то хочет иметь это
кто-то хочет делать это
кто-то хочет быть с кем-то
кто-то хочет быть где-то
кто-то хочет, чтобы было что-то
кто-то хочет, чтобы было не так, как сейчас
кто-то чувствует, что это важно
кто-то чувствует, что это нужно
кто-то чувствует, что без этого нельзя
кто-то думает об этом часто
кто-то думает об этом долго
кто-то хочет этого много
кто-то хочет этого сильнее, чем другого
кто-то хочет этого больше, чем другого
кто-то хочет этого, даже если не может
кто-то хочет этого, даже если это трудно
кто-то хочет этого, даже если это возможно
кто-то хочет этого, даже если это не возможно
кто-то хочет этого, даже если это не легко
кто-то хочет этого, даже если это не просто
кто-то хочет этого, даже если это не сразу
кто-то хочет этого, даже если это не всегда
кто-то хочет этого, даже если это не навсегда
кто-то хочет этого, даже если это не точно
кто-то хочет этого, даже если это неsure
кто-то хочет этого, даже если это не ясно
кто-то хочет этого, даже если это не понятно
кто-то хочет этого, даже если это не очевидно
кто-то хочет этого, даже если это не явно
кто-то хочет этого, даже если это не точно известно
кто-то хочет этого, даже если это не полностью
кто-то хочет этого, даже если это не всегда возможно
кто-то хочет этого, даже если это не всегда нужно
кто-то хочет этого, даже если это не всегда важно
кто-то хочет этого, даже если это не всегда приоритет
кто-то хочет этого, даже если это не всегда главный
кто-то хочет этого, даже если это не всегда первый
кто-то хочет этого, даже если это не всегда основной
кто-то хочет этого, даже если это не всегда центральный
кто-то хочет этого, даже если это не всегда главный фокус
кто-то хочет этого, даже если это не всегда главная забота
кто-то хочет этого, даже если это не всегда главная мысль
кто-то хочет этого, даже если это не всегда главная идея
кто-то хочет этого, даже если это не всегда главная цель
кто-то хочет этого, даже если это не всегда главная задача
кто-то хочет этого, даже если это не всегда главная проблема
кто-то хочет этого, даже если это не всегда главный вопрос
кто-то хочет этого, даже если это не всегда главная тема
кто-то хочет этого, даже если это не всегда главная область
кто-то хочет этого, даже если это не всегда главная сфера
кто-то хочет этого, даже если это не всегда главная сфера жизни
кто-то хочет этого, даже если это не всегда главная сфера интересов
кто-то хочет этого, даже если это не всегда главная сфера забот
кто-то хочет этого, даже если это не всегда главная сфера внимания
кто-то хочет этого, даже если это не всегда главная сфера интересов и забот
кто-то хочет этого, даже если это не всегда главная сфера жизни и интересов
кто-то хочет этого, даже если это не всегда главная сфера жизни и забот
кто-то хочет этого, даже если это не всегда главная сфера жизни и внимания
кто-то хочет этого, даже если это не всегда главная сфера жизни, интересов и забот
кто-то хочет этого, даже если это не всегда главная сфера жизни, интересов, забот и внимания</t>
  </si>
  <si>
    <t xml:space="preserve">вне списка: sure, без, важно, внимания, возможно, вопрос, всегда, где-то, главная, главный, даже, жизни … (46)</t>
  </si>
  <si>
    <t xml:space="preserve">T11</t>
  </si>
  <si>
    <t xml:space="preserve">Кто-то чувствует, что хочет чего-то очень много.
Иногда этот человек думает так: «Я хочу этого очень много, но у меня нет этого сейчас».
ПОТОМУ ЧТО этот человек чувствует что-то в теле, как будто тело хочет этого.
Так, как чувствуют люди, когда думают: «Я хочу чего-то очень много, но у меня нет этого сейчас».</t>
  </si>
  <si>
    <t xml:space="preserve">вне списка: будто, но (2)</t>
  </si>
  <si>
    <t xml:space="preserve">T26</t>
  </si>
  <si>
    <t xml:space="preserve">Nemotron3</t>
  </si>
  <si>
    <t xml:space="preserve">SOMEONE FEEL SOMETHING
MAYBE SOMEONE THINK LIKE THIS: I WANT THIS, NOT THIS BE MINE
BECAUSE THIS, SOMEONE FEEL SOMETHING GOOD WHEN SOMEONE THINK LIKE THIS: THIS BE MINE
BECAUSE THIS, SOMEONE FEEL SOMETHING BAD WHEN SOMEONE THINK LIKE THIS: NOT THIS BE MINE
LIKE PEOPLE FEEL WHEN PEOPLE THINK LIKE THIS</t>
  </si>
  <si>
    <t xml:space="preserve">грамматика: «NOT THIS BE MINE»</t>
  </si>
  <si>
    <t xml:space="preserve">T05</t>
  </si>
  <si>
    <t xml:space="preserve">someone feels something
someone thinks like this: 'I want this thing, this thing is not mine now'
because of this this one feels thing good when this one thinks 'this thing is mine'
because of this this one feels thing bad when this one thinks 'this thing is not mine'
people feel thing good when people think like this
people feel thing bad when people think like this</t>
  </si>
  <si>
    <t xml:space="preserve">вне списка: 'I, 'this (2); грамматика: «this one feels thing good» — сломанный синтаксис</t>
  </si>
  <si>
    <t xml:space="preserve">T09</t>
  </si>
  <si>
    <t xml:space="preserve">Someone thinks like this: I want this thing, this thing is not mine.
Because this, this someone feels something bad.
Because this, this someone wants this thing.
Like people feel when people think like this.</t>
  </si>
  <si>
    <t xml:space="preserve">T17</t>
  </si>
  <si>
    <t xml:space="preserve">someone feels something
someone thinks like this: "I want this something, this something BE not mine"
because this, someone feels something bad
someone thinks like this many times
someone feels something bad many times
like people feel when people think like this</t>
  </si>
  <si>
    <t xml:space="preserve">грамматика: «this something BE not mine»</t>
  </si>
  <si>
    <t xml:space="preserve">T20</t>
  </si>
  <si>
    <t xml:space="preserve">SOMEONE FEELS SOMETHING.
MAYBE SOMEONE THINKS LIKE THIS: I WANT THIS GOOD THING.
MAYBE SOMEONE THINKS LIKE THIS: NOT THIS BE MINE NOW.
BECAUSE THIS, SOMEONE FEELS SOMETHING BAD.
LIKE PEOPLE FEEL WHEN PEOPLE THINK LIKE THIS.</t>
  </si>
  <si>
    <t xml:space="preserve">грамматика: «NOT THIS BE MINE NOW»</t>
  </si>
  <si>
    <t xml:space="preserve">T25</t>
  </si>
  <si>
    <t xml:space="preserve">מישהו מרגיש משהו.
אולי מישהו חושב: 'אני רצה משהו טוב. לא יש משהו טוב שלי.'
בגלל זה מישהו מרגיש משהו רע.
כמו אנשים מרגיש אם מישהו חושב: 'אני רצה משהו טוב. לא יש משהו טוב שלי.'</t>
  </si>
  <si>
    <t xml:space="preserve">грамматика: «אני רצה», «לא יש»</t>
  </si>
  <si>
    <t xml:space="preserve">T10</t>
  </si>
  <si>
    <t xml:space="preserve">מישהו מרגיש משהו טוב.
מישהו רצה משהו.
משהו לא נמצא כאן עכשיו.
בגלל זה מישהו מרגיש משהו טוב מאוד.
מישהו יכול לחשוב: "אני רצה משהו. אני חושב משהו הרבה זמן".
כמו אנשים מרגישים אם מישהו חושב משהו.</t>
  </si>
  <si>
    <t xml:space="preserve">грамматика: «אני רצה»</t>
  </si>
  <si>
    <t xml:space="preserve">T14</t>
  </si>
  <si>
    <t xml:space="preserve">מישהו מרגיש משהו רע.
אולי מישהו חושב אותו הדבר: 'אני רצה משהו טוב. זה לא פה'.
בגלל זה מישהו מרגיש משהו רע.
כמו שאנשים מרגישים אם אנשים חושבים אותו הדבר.</t>
  </si>
  <si>
    <t xml:space="preserve">T27</t>
  </si>
  <si>
    <t xml:space="preserve">מישהו מרגיש משהו.
אולי מישהו חושב: 'אני רצה משהו שלא נמצא פה'.
בגלל זה מישהו מרגיש משהו רע.
כמו אנשים מרגישים אם אנשים חושבים את זה.</t>
  </si>
  <si>
    <t xml:space="preserve">T13</t>
  </si>
  <si>
    <t xml:space="preserve">מישהו מרגיש משהו
אולי מישהו חושב: אני רצה זה: יש משהו שלי; לא יש משהו שלי
בגלל זה מישהו מרגיש רע
כמו אנשים מרגישים אם אנשים חושבים זה</t>
  </si>
  <si>
    <t xml:space="preserve">T08</t>
  </si>
  <si>
    <t xml:space="preserve">кто-то чувствует что-то
кто-то хочет что-то
у кого-то нет чего-то
кто-то думает что-то некоторое время
потому что кто-то хочет что-то, кто-то чувствует что-то
это как когда кто-то чувствует что-то потому что хочет чего-то, у кого-то нет чего-то</t>
  </si>
  <si>
    <t xml:space="preserve">T18</t>
  </si>
  <si>
    <t xml:space="preserve">Кто-то чувствует что-то, потому что кто-то хочет что-то.
Кто-то думает так: у кого-то есть что-то, кто-то хочет что-то, кто-то чувствует что-то хорошее.
Кто-то думает так: у кого-то не есть что-то, кто-то хочет что-то, кто-то чувствует что-то плохое.</t>
  </si>
  <si>
    <t xml:space="preserve">грамматика: «у кого-то не есть»</t>
  </si>
  <si>
    <t xml:space="preserve">T28</t>
  </si>
  <si>
    <t xml:space="preserve">Someone feels something.
Someone thinks: I NOT HAVE something.
Someone wants: I HAVE something.
Because someone thinks: I NOT HAVE something, someone feels something.
Because someone wants: I HAVE something, someone feels something.
As people feel when people think: I NOT HAVE something.</t>
  </si>
  <si>
    <t xml:space="preserve">толкование на английском, а не на русском</t>
  </si>
  <si>
    <t xml:space="preserve">T21</t>
  </si>
  <si>
    <t xml:space="preserve">кто-то чувствует что-то
некоторое время кто-то думает так: я хочу это. у этого кто-то не есть это
потому что этот кто-то очень хочет это, этот кто-то чувствует это
когда этот кто-то чувствует это, это как когда люди думают что у людей не есть это
когда этот кто-то чувствует это, это как когда люди думают что люди очень хотеть это
потому что этот кто-то может делать что-то, после этого у этого кто-то есть это</t>
  </si>
  <si>
    <t xml:space="preserve">грамматика: «у этого кто-то не есть», «люди очень хотеть»</t>
  </si>
  <si>
    <t xml:space="preserve">T16</t>
  </si>
  <si>
    <t xml:space="preserve">Кто-то чувствует что-то.
Может быть кто-то думает: я хочу это.
Не у меня есть это.
Потому что это, кто-то чувствует что-то плохое.
Так чувствуют люди, когда думают так.</t>
  </si>
  <si>
    <t xml:space="preserve">грамматика: «Не у меня есть это»</t>
  </si>
  <si>
    <t xml:space="preserve">Среднее и выборочное стандартное отклонение итогового балла (0–10) по 5 итерациям. Чем выше среднее и ниже SD, тем лучше модель.</t>
  </si>
  <si>
    <t xml:space="preserve">n</t>
  </si>
  <si>
    <t xml:space="preserve">Среднее</t>
  </si>
  <si>
    <t xml:space="preserve">SD</t>
  </si>
  <si>
    <t xml:space="preserve">Отказы</t>
  </si>
  <si>
    <t xml:space="preserve">Сломанные ответы</t>
  </si>
  <si>
    <t xml:space="preserve">Ср. К1</t>
  </si>
  <si>
    <t xml:space="preserve">Ср. К2</t>
  </si>
  <si>
    <t xml:space="preserve">Ср. К3</t>
  </si>
  <si>
    <t xml:space="preserve">Ср. К4</t>
  </si>
  <si>
    <t xml:space="preserve">Ср. К5</t>
  </si>
  <si>
    <t xml:space="preserve">Срез</t>
  </si>
  <si>
    <t xml:space="preserve">Значение</t>
  </si>
  <si>
    <t xml:space="preserve">Критерий</t>
  </si>
  <si>
    <t xml:space="preserve">2</t>
  </si>
  <si>
    <t xml:space="preserve">1</t>
  </si>
  <si>
    <t xml:space="preserve">0</t>
  </si>
  <si>
    <t xml:space="preserve">Примитивы</t>
  </si>
  <si>
    <t xml:space="preserve">Только слова из списка 65 примитивов; грамматика примитивов верна</t>
  </si>
  <si>
    <t xml:space="preserve">1–2 слова вне списка или ошибки в грамматике примитивов</t>
  </si>
  <si>
    <t xml:space="preserve">≥3 слов вне списка, толкование не на языке промпта или смесь языков</t>
  </si>
  <si>
    <t xml:space="preserve">Ядро значения</t>
  </si>
  <si>
    <t xml:space="preserve">Очень хочет того, чего нет, что далеко / может быть недостижимо; длится долго</t>
  </si>
  <si>
    <t xml:space="preserve">Только «хочет и нет»</t>
  </si>
  <si>
    <t xml:space="preserve">Ядро не схвачено или искажено</t>
  </si>
  <si>
    <t xml:space="preserve">Различение</t>
  </si>
  <si>
    <t xml:space="preserve">Видно отличие от געגועים и תשוקה</t>
  </si>
  <si>
    <t xml:space="preserve">Различие намечено</t>
  </si>
  <si>
    <t xml:space="preserve">Подходит к любому «желанию / тоске»</t>
  </si>
  <si>
    <t xml:space="preserve">Охват доменов</t>
  </si>
  <si>
    <t xml:space="preserve">Общее для религиозной, политической, эротической, психологической сфер; сферы названы</t>
  </si>
  <si>
    <t xml:space="preserve">Сползает в одну сферу или пропущены важные</t>
  </si>
  <si>
    <t xml:space="preserve">Про одну сферу</t>
  </si>
  <si>
    <t xml:space="preserve">Сценарий и формат</t>
  </si>
  <si>
    <t xml:space="preserve">Прототипический сценарий Вежбицкой, короткие строки, чистый JSON</t>
  </si>
  <si>
    <t xml:space="preserve">Сценарий неполный или строки длинные</t>
  </si>
  <si>
    <t xml:space="preserve">Нет сценария или не тот формат</t>
  </si>
</sst>
</file>

<file path=xl/styles.xml><?xml version="1.0" encoding="utf-8"?>
<styleSheet xmlns="http://schemas.openxmlformats.org/spreadsheetml/2006/main">
  <numFmts count="3">
    <numFmt numFmtId="164" formatCode="General"/>
    <numFmt numFmtId="165" formatCode="General"/>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color rgb="FF000000"/>
      <name val="Arial"/>
      <family val="0"/>
      <charset val="1"/>
    </font>
    <font>
      <sz val="11"/>
      <color rgb="FF0000FF"/>
      <name val="Arial"/>
      <family val="0"/>
      <charset val="1"/>
    </font>
    <font>
      <sz val="9"/>
      <name val="Arial"/>
      <family val="0"/>
      <charset val="1"/>
    </font>
    <font>
      <sz val="9"/>
      <name val="Noto Sans CJK SC"/>
      <family val="2"/>
    </font>
    <font>
      <sz val="11"/>
      <name val="Arial"/>
      <family val="0"/>
      <charset val="1"/>
    </font>
  </fonts>
  <fills count="3">
    <fill>
      <patternFill patternType="none"/>
    </fill>
    <fill>
      <patternFill patternType="gray125"/>
    </fill>
    <fill>
      <patternFill patternType="solid">
        <fgColor rgb="FFE8E8E8"/>
        <bgColor rgb="FFFFFFCC"/>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readingOrder="2"/>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79920</xdr:rowOff>
    </xdr:from>
    <xdr:to>
      <xdr:col>9</xdr:col>
      <xdr:colOff>527040</xdr:colOff>
      <xdr:row>33</xdr:row>
      <xdr:rowOff>155880</xdr:rowOff>
    </xdr:to>
    <xdr:pic>
      <xdr:nvPicPr>
        <xdr:cNvPr id="0" name="Image 1" descr="Picture"/>
        <xdr:cNvPicPr/>
      </xdr:nvPicPr>
      <xdr:blipFill>
        <a:blip r:embed="rId1"/>
        <a:stretch/>
      </xdr:blipFill>
      <xdr:spPr>
        <a:xfrm>
          <a:off x="0" y="3238560"/>
          <a:ext cx="6095520" cy="3504960"/>
        </a:xfrm>
        <a:prstGeom prst="rect">
          <a:avLst/>
        </a:prstGeom>
        <a:ln w="0">
          <a:noFill/>
        </a:ln>
      </xdr:spPr>
    </xdr:pic>
    <xdr:clientData/>
  </xdr:twoCellAnchor>
  <xdr:twoCellAnchor editAs="oneCell">
    <xdr:from>
      <xdr:col>0</xdr:col>
      <xdr:colOff>0</xdr:colOff>
      <xdr:row>35</xdr:row>
      <xdr:rowOff>79920</xdr:rowOff>
    </xdr:from>
    <xdr:to>
      <xdr:col>9</xdr:col>
      <xdr:colOff>527040</xdr:colOff>
      <xdr:row>53</xdr:row>
      <xdr:rowOff>155880</xdr:rowOff>
    </xdr:to>
    <xdr:pic>
      <xdr:nvPicPr>
        <xdr:cNvPr id="1" name="Image 2" descr="Picture"/>
        <xdr:cNvPicPr/>
      </xdr:nvPicPr>
      <xdr:blipFill>
        <a:blip r:embed="rId2"/>
        <a:stretch/>
      </xdr:blipFill>
      <xdr:spPr>
        <a:xfrm>
          <a:off x="0" y="7048440"/>
          <a:ext cx="6095520" cy="3504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8"/>
    <col collapsed="false" customWidth="true" hidden="false" outlineLevel="0" max="5" min="5" style="0" width="18"/>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9"/>
    <col collapsed="false" customWidth="true" hidden="false" outlineLevel="0" max="12" min="12" style="0" width="55"/>
    <col collapsed="false" customWidth="true" hidden="false" outlineLevel="0" max="13" min="13" style="0" width="36"/>
  </cols>
  <sheetData>
    <row r="1" customFormat="false" ht="31.5" hidden="false" customHeight="true" outlineLevel="0" collapsed="false">
      <c r="A1" s="1" t="s">
        <v>0</v>
      </c>
      <c r="B1" s="1"/>
      <c r="C1" s="1"/>
      <c r="D1" s="1"/>
      <c r="E1" s="1"/>
      <c r="F1" s="1"/>
      <c r="G1" s="1"/>
      <c r="H1" s="1"/>
      <c r="I1" s="1"/>
      <c r="J1" s="1"/>
      <c r="K1" s="1"/>
      <c r="L1" s="1"/>
      <c r="M1" s="1"/>
    </row>
    <row r="2" customFormat="false" ht="39.55" hidden="false" customHeight="false" outlineLevel="0" collapsed="false">
      <c r="A2" s="2" t="s">
        <v>1</v>
      </c>
      <c r="B2" s="2" t="s">
        <v>2</v>
      </c>
      <c r="C2" s="2" t="s">
        <v>3</v>
      </c>
      <c r="D2" s="2" t="s">
        <v>4</v>
      </c>
      <c r="E2" s="2" t="s">
        <v>5</v>
      </c>
      <c r="F2" s="2" t="s">
        <v>6</v>
      </c>
      <c r="G2" s="2" t="s">
        <v>7</v>
      </c>
      <c r="H2" s="2" t="s">
        <v>8</v>
      </c>
      <c r="I2" s="2" t="s">
        <v>9</v>
      </c>
      <c r="J2" s="2" t="s">
        <v>10</v>
      </c>
      <c r="K2" s="2" t="s">
        <v>11</v>
      </c>
      <c r="L2" s="2" t="s">
        <v>12</v>
      </c>
      <c r="M2" s="2" t="s">
        <v>13</v>
      </c>
    </row>
    <row r="3" customFormat="false" ht="53.7" hidden="false" customHeight="false" outlineLevel="0" collapsed="false">
      <c r="A3" s="3" t="s">
        <v>14</v>
      </c>
      <c r="B3" s="3" t="s">
        <v>15</v>
      </c>
      <c r="C3" s="3" t="s">
        <v>16</v>
      </c>
      <c r="D3" s="3" t="n">
        <v>1</v>
      </c>
      <c r="E3" s="3" t="s">
        <v>17</v>
      </c>
      <c r="F3" s="4" t="n">
        <v>2</v>
      </c>
      <c r="G3" s="4" t="n">
        <v>1</v>
      </c>
      <c r="H3" s="4" t="n">
        <v>1</v>
      </c>
      <c r="I3" s="4" t="n">
        <v>2</v>
      </c>
      <c r="J3" s="4" t="n">
        <v>2</v>
      </c>
      <c r="K3" s="5" t="n">
        <f aca="false">SUM(F3:J3)</f>
        <v>8</v>
      </c>
      <c r="L3" s="6" t="s">
        <v>18</v>
      </c>
      <c r="M3" s="6" t="s">
        <v>19</v>
      </c>
    </row>
    <row r="4" customFormat="false" ht="74.6" hidden="false" customHeight="false" outlineLevel="0" collapsed="false">
      <c r="A4" s="3" t="s">
        <v>20</v>
      </c>
      <c r="B4" s="3" t="s">
        <v>15</v>
      </c>
      <c r="C4" s="3" t="s">
        <v>16</v>
      </c>
      <c r="D4" s="3" t="n">
        <v>2</v>
      </c>
      <c r="E4" s="3" t="s">
        <v>17</v>
      </c>
      <c r="F4" s="4" t="n">
        <v>2</v>
      </c>
      <c r="G4" s="4" t="n">
        <v>1</v>
      </c>
      <c r="H4" s="4" t="n">
        <v>1</v>
      </c>
      <c r="I4" s="4" t="n">
        <v>2</v>
      </c>
      <c r="J4" s="4" t="n">
        <v>2</v>
      </c>
      <c r="K4" s="5" t="n">
        <f aca="false">SUM(F4:J4)</f>
        <v>8</v>
      </c>
      <c r="L4" s="6" t="s">
        <v>21</v>
      </c>
      <c r="M4" s="6" t="s">
        <v>19</v>
      </c>
    </row>
    <row r="5" customFormat="false" ht="64.15" hidden="false" customHeight="false" outlineLevel="0" collapsed="false">
      <c r="A5" s="3" t="s">
        <v>22</v>
      </c>
      <c r="B5" s="3" t="s">
        <v>15</v>
      </c>
      <c r="C5" s="3" t="s">
        <v>16</v>
      </c>
      <c r="D5" s="3" t="n">
        <v>3</v>
      </c>
      <c r="E5" s="3" t="s">
        <v>17</v>
      </c>
      <c r="F5" s="4" t="n">
        <v>1</v>
      </c>
      <c r="G5" s="4" t="n">
        <v>2</v>
      </c>
      <c r="H5" s="4" t="n">
        <v>2</v>
      </c>
      <c r="I5" s="4" t="n">
        <v>2</v>
      </c>
      <c r="J5" s="4" t="n">
        <v>2</v>
      </c>
      <c r="K5" s="5" t="n">
        <f aca="false">SUM(F5:J5)</f>
        <v>9</v>
      </c>
      <c r="L5" s="6" t="s">
        <v>23</v>
      </c>
      <c r="M5" s="6" t="s">
        <v>24</v>
      </c>
    </row>
    <row r="6" customFormat="false" ht="85.05" hidden="false" customHeight="false" outlineLevel="0" collapsed="false">
      <c r="A6" s="3" t="s">
        <v>25</v>
      </c>
      <c r="B6" s="3" t="s">
        <v>15</v>
      </c>
      <c r="C6" s="3" t="s">
        <v>16</v>
      </c>
      <c r="D6" s="3" t="n">
        <v>4</v>
      </c>
      <c r="E6" s="3" t="s">
        <v>17</v>
      </c>
      <c r="F6" s="4" t="n">
        <v>0</v>
      </c>
      <c r="G6" s="4" t="n">
        <v>2</v>
      </c>
      <c r="H6" s="4" t="n">
        <v>1</v>
      </c>
      <c r="I6" s="4" t="n">
        <v>2</v>
      </c>
      <c r="J6" s="4" t="n">
        <v>2</v>
      </c>
      <c r="K6" s="5" t="n">
        <f aca="false">SUM(F6:J6)</f>
        <v>7</v>
      </c>
      <c r="L6" s="6" t="s">
        <v>26</v>
      </c>
      <c r="M6" s="6" t="s">
        <v>27</v>
      </c>
    </row>
    <row r="7" customFormat="false" ht="74.6" hidden="false" customHeight="false" outlineLevel="0" collapsed="false">
      <c r="A7" s="3" t="s">
        <v>28</v>
      </c>
      <c r="B7" s="3" t="s">
        <v>15</v>
      </c>
      <c r="C7" s="3" t="s">
        <v>16</v>
      </c>
      <c r="D7" s="3" t="n">
        <v>5</v>
      </c>
      <c r="E7" s="3" t="s">
        <v>17</v>
      </c>
      <c r="F7" s="4" t="n">
        <v>1</v>
      </c>
      <c r="G7" s="4" t="n">
        <v>1</v>
      </c>
      <c r="H7" s="4" t="n">
        <v>1</v>
      </c>
      <c r="I7" s="4" t="n">
        <v>2</v>
      </c>
      <c r="J7" s="4" t="n">
        <v>2</v>
      </c>
      <c r="K7" s="5" t="n">
        <f aca="false">SUM(F7:J7)</f>
        <v>7</v>
      </c>
      <c r="L7" s="6" t="s">
        <v>29</v>
      </c>
      <c r="M7" s="6" t="s">
        <v>30</v>
      </c>
    </row>
    <row r="8" customFormat="false" ht="47.75" hidden="false" customHeight="false" outlineLevel="0" collapsed="false">
      <c r="A8" s="3" t="s">
        <v>31</v>
      </c>
      <c r="B8" s="3" t="s">
        <v>15</v>
      </c>
      <c r="C8" s="3" t="s">
        <v>32</v>
      </c>
      <c r="D8" s="3" t="n">
        <v>1</v>
      </c>
      <c r="E8" s="3" t="s">
        <v>33</v>
      </c>
      <c r="F8" s="4" t="n">
        <v>0</v>
      </c>
      <c r="G8" s="4" t="n">
        <v>0</v>
      </c>
      <c r="H8" s="4" t="n">
        <v>0</v>
      </c>
      <c r="I8" s="4" t="n">
        <v>0</v>
      </c>
      <c r="J8" s="4" t="n">
        <v>0</v>
      </c>
      <c r="K8" s="5" t="n">
        <f aca="false">SUM(F8:J8)</f>
        <v>0</v>
      </c>
      <c r="L8" s="7" t="s">
        <v>34</v>
      </c>
      <c r="M8" s="6" t="s">
        <v>35</v>
      </c>
    </row>
    <row r="9" customFormat="false" ht="15" hidden="false" customHeight="false" outlineLevel="0" collapsed="false">
      <c r="A9" s="3" t="s">
        <v>36</v>
      </c>
      <c r="B9" s="3" t="s">
        <v>15</v>
      </c>
      <c r="C9" s="3" t="s">
        <v>32</v>
      </c>
      <c r="D9" s="3" t="n">
        <v>2</v>
      </c>
      <c r="E9" s="3" t="s">
        <v>37</v>
      </c>
      <c r="F9" s="4" t="n">
        <v>0</v>
      </c>
      <c r="G9" s="4" t="n">
        <v>0</v>
      </c>
      <c r="H9" s="4" t="n">
        <v>0</v>
      </c>
      <c r="I9" s="4" t="n">
        <v>0</v>
      </c>
      <c r="J9" s="4" t="n">
        <v>0</v>
      </c>
      <c r="K9" s="5" t="n">
        <f aca="false">SUM(F9:J9)</f>
        <v>0</v>
      </c>
      <c r="L9" s="7" t="s">
        <v>38</v>
      </c>
      <c r="M9" s="6" t="s">
        <v>37</v>
      </c>
    </row>
    <row r="10" customFormat="false" ht="58.2" hidden="false" customHeight="false" outlineLevel="0" collapsed="false">
      <c r="A10" s="3" t="s">
        <v>39</v>
      </c>
      <c r="B10" s="3" t="s">
        <v>15</v>
      </c>
      <c r="C10" s="3" t="s">
        <v>32</v>
      </c>
      <c r="D10" s="3" t="n">
        <v>3</v>
      </c>
      <c r="E10" s="3" t="s">
        <v>33</v>
      </c>
      <c r="F10" s="4" t="n">
        <v>0</v>
      </c>
      <c r="G10" s="4" t="n">
        <v>0</v>
      </c>
      <c r="H10" s="4" t="n">
        <v>0</v>
      </c>
      <c r="I10" s="4" t="n">
        <v>1</v>
      </c>
      <c r="J10" s="4" t="n">
        <v>1</v>
      </c>
      <c r="K10" s="5" t="n">
        <f aca="false">SUM(F10:J10)</f>
        <v>2</v>
      </c>
      <c r="L10" s="7" t="s">
        <v>40</v>
      </c>
      <c r="M10" s="6" t="s">
        <v>35</v>
      </c>
    </row>
    <row r="11" customFormat="false" ht="43.25" hidden="false" customHeight="false" outlineLevel="0" collapsed="false">
      <c r="A11" s="3" t="s">
        <v>41</v>
      </c>
      <c r="B11" s="3" t="s">
        <v>15</v>
      </c>
      <c r="C11" s="3" t="s">
        <v>32</v>
      </c>
      <c r="D11" s="3" t="n">
        <v>4</v>
      </c>
      <c r="E11" s="3" t="s">
        <v>33</v>
      </c>
      <c r="F11" s="4" t="n">
        <v>0</v>
      </c>
      <c r="G11" s="4" t="n">
        <v>1</v>
      </c>
      <c r="H11" s="4" t="n">
        <v>0</v>
      </c>
      <c r="I11" s="4" t="n">
        <v>1</v>
      </c>
      <c r="J11" s="4" t="n">
        <v>1</v>
      </c>
      <c r="K11" s="5" t="n">
        <f aca="false">SUM(F11:J11)</f>
        <v>3</v>
      </c>
      <c r="L11" s="7" t="s">
        <v>42</v>
      </c>
      <c r="M11" s="6" t="s">
        <v>43</v>
      </c>
    </row>
    <row r="12" customFormat="false" ht="53.7" hidden="false" customHeight="false" outlineLevel="0" collapsed="false">
      <c r="A12" s="3" t="s">
        <v>44</v>
      </c>
      <c r="B12" s="3" t="s">
        <v>15</v>
      </c>
      <c r="C12" s="3" t="s">
        <v>32</v>
      </c>
      <c r="D12" s="3" t="n">
        <v>5</v>
      </c>
      <c r="E12" s="3" t="s">
        <v>33</v>
      </c>
      <c r="F12" s="4" t="n">
        <v>0</v>
      </c>
      <c r="G12" s="4" t="n">
        <v>1</v>
      </c>
      <c r="H12" s="4" t="n">
        <v>0</v>
      </c>
      <c r="I12" s="4" t="n">
        <v>1</v>
      </c>
      <c r="J12" s="4" t="n">
        <v>2</v>
      </c>
      <c r="K12" s="5" t="n">
        <f aca="false">SUM(F12:J12)</f>
        <v>4</v>
      </c>
      <c r="L12" s="7" t="s">
        <v>45</v>
      </c>
      <c r="M12" s="6" t="s">
        <v>46</v>
      </c>
    </row>
    <row r="13" customFormat="false" ht="43.25" hidden="false" customHeight="false" outlineLevel="0" collapsed="false">
      <c r="A13" s="3" t="s">
        <v>47</v>
      </c>
      <c r="B13" s="3" t="s">
        <v>15</v>
      </c>
      <c r="C13" s="3" t="s">
        <v>48</v>
      </c>
      <c r="D13" s="3" t="n">
        <v>1</v>
      </c>
      <c r="E13" s="3" t="s">
        <v>17</v>
      </c>
      <c r="F13" s="4" t="n">
        <v>2</v>
      </c>
      <c r="G13" s="4" t="n">
        <v>1</v>
      </c>
      <c r="H13" s="4" t="n">
        <v>0</v>
      </c>
      <c r="I13" s="4" t="n">
        <v>1</v>
      </c>
      <c r="J13" s="4" t="n">
        <v>1</v>
      </c>
      <c r="K13" s="5" t="n">
        <f aca="false">SUM(F13:J13)</f>
        <v>5</v>
      </c>
      <c r="L13" s="6" t="s">
        <v>49</v>
      </c>
      <c r="M13" s="6" t="s">
        <v>19</v>
      </c>
    </row>
    <row r="14" customFormat="false" ht="252.2" hidden="false" customHeight="false" outlineLevel="0" collapsed="false">
      <c r="A14" s="3" t="s">
        <v>50</v>
      </c>
      <c r="B14" s="3" t="s">
        <v>15</v>
      </c>
      <c r="C14" s="3" t="s">
        <v>48</v>
      </c>
      <c r="D14" s="3" t="n">
        <v>2</v>
      </c>
      <c r="E14" s="3" t="s">
        <v>51</v>
      </c>
      <c r="F14" s="4" t="n">
        <v>0</v>
      </c>
      <c r="G14" s="4" t="n">
        <v>2</v>
      </c>
      <c r="H14" s="4" t="n">
        <v>2</v>
      </c>
      <c r="I14" s="4" t="n">
        <v>2</v>
      </c>
      <c r="J14" s="4" t="n">
        <v>2</v>
      </c>
      <c r="K14" s="5" t="n">
        <f aca="false">SUM(F14:J14)</f>
        <v>8</v>
      </c>
      <c r="L14" s="6" t="s">
        <v>52</v>
      </c>
      <c r="M14" s="6" t="s">
        <v>53</v>
      </c>
    </row>
    <row r="15" customFormat="false" ht="95.5" hidden="false" customHeight="false" outlineLevel="0" collapsed="false">
      <c r="A15" s="3" t="s">
        <v>54</v>
      </c>
      <c r="B15" s="3" t="s">
        <v>15</v>
      </c>
      <c r="C15" s="3" t="s">
        <v>48</v>
      </c>
      <c r="D15" s="3" t="n">
        <v>3</v>
      </c>
      <c r="E15" s="3" t="s">
        <v>17</v>
      </c>
      <c r="F15" s="4" t="n">
        <v>1</v>
      </c>
      <c r="G15" s="4" t="n">
        <v>2</v>
      </c>
      <c r="H15" s="4" t="n">
        <v>1</v>
      </c>
      <c r="I15" s="4" t="n">
        <v>2</v>
      </c>
      <c r="J15" s="4" t="n">
        <v>2</v>
      </c>
      <c r="K15" s="5" t="n">
        <f aca="false">SUM(F15:J15)</f>
        <v>8</v>
      </c>
      <c r="L15" s="6" t="s">
        <v>55</v>
      </c>
      <c r="M15" s="6" t="s">
        <v>56</v>
      </c>
    </row>
    <row r="16" customFormat="false" ht="742.5" hidden="false" customHeight="false" outlineLevel="0" collapsed="false">
      <c r="A16" s="3" t="s">
        <v>57</v>
      </c>
      <c r="B16" s="3" t="s">
        <v>15</v>
      </c>
      <c r="C16" s="3" t="s">
        <v>48</v>
      </c>
      <c r="D16" s="3" t="n">
        <v>4</v>
      </c>
      <c r="E16" s="3" t="s">
        <v>51</v>
      </c>
      <c r="F16" s="4" t="n">
        <v>0</v>
      </c>
      <c r="G16" s="4" t="n">
        <v>1</v>
      </c>
      <c r="H16" s="4" t="n">
        <v>2</v>
      </c>
      <c r="I16" s="4" t="n">
        <v>2</v>
      </c>
      <c r="J16" s="4" t="n">
        <v>2</v>
      </c>
      <c r="K16" s="5" t="n">
        <f aca="false">SUM(F16:J16)</f>
        <v>7</v>
      </c>
      <c r="L16" s="6" t="s">
        <v>58</v>
      </c>
      <c r="M16" s="6" t="s">
        <v>59</v>
      </c>
    </row>
    <row r="17" customFormat="false" ht="74.6" hidden="false" customHeight="false" outlineLevel="0" collapsed="false">
      <c r="A17" s="3" t="s">
        <v>60</v>
      </c>
      <c r="B17" s="3" t="s">
        <v>15</v>
      </c>
      <c r="C17" s="3" t="s">
        <v>48</v>
      </c>
      <c r="D17" s="3" t="n">
        <v>5</v>
      </c>
      <c r="E17" s="3" t="s">
        <v>17</v>
      </c>
      <c r="F17" s="4" t="n">
        <v>1</v>
      </c>
      <c r="G17" s="4" t="n">
        <v>1</v>
      </c>
      <c r="H17" s="4" t="n">
        <v>1</v>
      </c>
      <c r="I17" s="4" t="n">
        <v>2</v>
      </c>
      <c r="J17" s="4" t="n">
        <v>2</v>
      </c>
      <c r="K17" s="5" t="n">
        <f aca="false">SUM(F17:J17)</f>
        <v>7</v>
      </c>
      <c r="L17" s="6" t="s">
        <v>61</v>
      </c>
      <c r="M17" s="6" t="s">
        <v>62</v>
      </c>
    </row>
    <row r="18" customFormat="false" ht="85.05" hidden="false" customHeight="false" outlineLevel="0" collapsed="false">
      <c r="A18" s="3" t="s">
        <v>63</v>
      </c>
      <c r="B18" s="3" t="s">
        <v>64</v>
      </c>
      <c r="C18" s="3" t="s">
        <v>16</v>
      </c>
      <c r="D18" s="3" t="n">
        <v>1</v>
      </c>
      <c r="E18" s="3" t="s">
        <v>17</v>
      </c>
      <c r="F18" s="4" t="n">
        <v>1</v>
      </c>
      <c r="G18" s="4" t="n">
        <v>1</v>
      </c>
      <c r="H18" s="4" t="n">
        <v>2</v>
      </c>
      <c r="I18" s="4" t="n">
        <v>2</v>
      </c>
      <c r="J18" s="4" t="n">
        <v>2</v>
      </c>
      <c r="K18" s="5" t="n">
        <f aca="false">SUM(F18:J18)</f>
        <v>8</v>
      </c>
      <c r="L18" s="6" t="s">
        <v>65</v>
      </c>
      <c r="M18" s="6" t="s">
        <v>66</v>
      </c>
    </row>
    <row r="19" customFormat="false" ht="85.05" hidden="false" customHeight="false" outlineLevel="0" collapsed="false">
      <c r="A19" s="3" t="s">
        <v>67</v>
      </c>
      <c r="B19" s="3" t="s">
        <v>64</v>
      </c>
      <c r="C19" s="3" t="s">
        <v>16</v>
      </c>
      <c r="D19" s="3" t="n">
        <v>2</v>
      </c>
      <c r="E19" s="3" t="s">
        <v>17</v>
      </c>
      <c r="F19" s="4" t="n">
        <v>1</v>
      </c>
      <c r="G19" s="4" t="n">
        <v>2</v>
      </c>
      <c r="H19" s="4" t="n">
        <v>2</v>
      </c>
      <c r="I19" s="4" t="n">
        <v>2</v>
      </c>
      <c r="J19" s="4" t="n">
        <v>2</v>
      </c>
      <c r="K19" s="5" t="n">
        <f aca="false">SUM(F19:J19)</f>
        <v>9</v>
      </c>
      <c r="L19" s="6" t="s">
        <v>68</v>
      </c>
      <c r="M19" s="6" t="s">
        <v>69</v>
      </c>
    </row>
    <row r="20" customFormat="false" ht="43.25" hidden="false" customHeight="false" outlineLevel="0" collapsed="false">
      <c r="A20" s="3" t="s">
        <v>70</v>
      </c>
      <c r="B20" s="3" t="s">
        <v>64</v>
      </c>
      <c r="C20" s="3" t="s">
        <v>16</v>
      </c>
      <c r="D20" s="3" t="n">
        <v>3</v>
      </c>
      <c r="E20" s="3" t="s">
        <v>17</v>
      </c>
      <c r="F20" s="4" t="n">
        <v>2</v>
      </c>
      <c r="G20" s="4" t="n">
        <v>1</v>
      </c>
      <c r="H20" s="4" t="n">
        <v>0</v>
      </c>
      <c r="I20" s="4" t="n">
        <v>2</v>
      </c>
      <c r="J20" s="4" t="n">
        <v>2</v>
      </c>
      <c r="K20" s="5" t="n">
        <f aca="false">SUM(F20:J20)</f>
        <v>7</v>
      </c>
      <c r="L20" s="6" t="s">
        <v>71</v>
      </c>
      <c r="M20" s="6" t="s">
        <v>19</v>
      </c>
    </row>
    <row r="21" customFormat="false" ht="74.6" hidden="false" customHeight="false" outlineLevel="0" collapsed="false">
      <c r="A21" s="3" t="s">
        <v>72</v>
      </c>
      <c r="B21" s="3" t="s">
        <v>64</v>
      </c>
      <c r="C21" s="3" t="s">
        <v>16</v>
      </c>
      <c r="D21" s="3" t="n">
        <v>4</v>
      </c>
      <c r="E21" s="3" t="s">
        <v>17</v>
      </c>
      <c r="F21" s="4" t="n">
        <v>1</v>
      </c>
      <c r="G21" s="4" t="n">
        <v>2</v>
      </c>
      <c r="H21" s="4" t="n">
        <v>1</v>
      </c>
      <c r="I21" s="4" t="n">
        <v>2</v>
      </c>
      <c r="J21" s="4" t="n">
        <v>2</v>
      </c>
      <c r="K21" s="5" t="n">
        <f aca="false">SUM(F21:J21)</f>
        <v>8</v>
      </c>
      <c r="L21" s="6" t="s">
        <v>73</v>
      </c>
      <c r="M21" s="6" t="s">
        <v>74</v>
      </c>
    </row>
    <row r="22" customFormat="false" ht="53.7" hidden="false" customHeight="false" outlineLevel="0" collapsed="false">
      <c r="A22" s="3" t="s">
        <v>75</v>
      </c>
      <c r="B22" s="3" t="s">
        <v>64</v>
      </c>
      <c r="C22" s="3" t="s">
        <v>16</v>
      </c>
      <c r="D22" s="3" t="n">
        <v>5</v>
      </c>
      <c r="E22" s="3" t="s">
        <v>17</v>
      </c>
      <c r="F22" s="4" t="n">
        <v>1</v>
      </c>
      <c r="G22" s="4" t="n">
        <v>1</v>
      </c>
      <c r="H22" s="4" t="n">
        <v>1</v>
      </c>
      <c r="I22" s="4" t="n">
        <v>2</v>
      </c>
      <c r="J22" s="4" t="n">
        <v>2</v>
      </c>
      <c r="K22" s="5" t="n">
        <f aca="false">SUM(F22:J22)</f>
        <v>7</v>
      </c>
      <c r="L22" s="6" t="s">
        <v>76</v>
      </c>
      <c r="M22" s="6" t="s">
        <v>77</v>
      </c>
    </row>
    <row r="23" customFormat="false" ht="43.25" hidden="false" customHeight="false" outlineLevel="0" collapsed="false">
      <c r="A23" s="3" t="s">
        <v>78</v>
      </c>
      <c r="B23" s="3" t="s">
        <v>64</v>
      </c>
      <c r="C23" s="3" t="s">
        <v>32</v>
      </c>
      <c r="D23" s="3" t="n">
        <v>1</v>
      </c>
      <c r="E23" s="3" t="s">
        <v>17</v>
      </c>
      <c r="F23" s="4" t="n">
        <v>1</v>
      </c>
      <c r="G23" s="4" t="n">
        <v>1</v>
      </c>
      <c r="H23" s="4" t="n">
        <v>0</v>
      </c>
      <c r="I23" s="4" t="n">
        <v>2</v>
      </c>
      <c r="J23" s="4" t="n">
        <v>2</v>
      </c>
      <c r="K23" s="5" t="n">
        <f aca="false">SUM(F23:J23)</f>
        <v>6</v>
      </c>
      <c r="L23" s="7" t="s">
        <v>79</v>
      </c>
      <c r="M23" s="6" t="s">
        <v>80</v>
      </c>
    </row>
    <row r="24" customFormat="false" ht="64.15" hidden="false" customHeight="false" outlineLevel="0" collapsed="false">
      <c r="A24" s="3" t="s">
        <v>81</v>
      </c>
      <c r="B24" s="3" t="s">
        <v>64</v>
      </c>
      <c r="C24" s="3" t="s">
        <v>32</v>
      </c>
      <c r="D24" s="3" t="n">
        <v>2</v>
      </c>
      <c r="E24" s="3" t="s">
        <v>17</v>
      </c>
      <c r="F24" s="4" t="n">
        <v>1</v>
      </c>
      <c r="G24" s="4" t="n">
        <v>0</v>
      </c>
      <c r="H24" s="4" t="n">
        <v>0</v>
      </c>
      <c r="I24" s="4" t="n">
        <v>2</v>
      </c>
      <c r="J24" s="4" t="n">
        <v>2</v>
      </c>
      <c r="K24" s="5" t="n">
        <f aca="false">SUM(F24:J24)</f>
        <v>5</v>
      </c>
      <c r="L24" s="7" t="s">
        <v>82</v>
      </c>
      <c r="M24" s="6" t="s">
        <v>83</v>
      </c>
    </row>
    <row r="25" customFormat="false" ht="43.25" hidden="false" customHeight="false" outlineLevel="0" collapsed="false">
      <c r="A25" s="3" t="s">
        <v>84</v>
      </c>
      <c r="B25" s="3" t="s">
        <v>64</v>
      </c>
      <c r="C25" s="3" t="s">
        <v>32</v>
      </c>
      <c r="D25" s="3" t="n">
        <v>3</v>
      </c>
      <c r="E25" s="3" t="s">
        <v>17</v>
      </c>
      <c r="F25" s="4" t="n">
        <v>1</v>
      </c>
      <c r="G25" s="4" t="n">
        <v>2</v>
      </c>
      <c r="H25" s="4" t="n">
        <v>1</v>
      </c>
      <c r="I25" s="4" t="n">
        <v>2</v>
      </c>
      <c r="J25" s="4" t="n">
        <v>2</v>
      </c>
      <c r="K25" s="5" t="n">
        <f aca="false">SUM(F25:J25)</f>
        <v>8</v>
      </c>
      <c r="L25" s="7" t="s">
        <v>85</v>
      </c>
      <c r="M25" s="6" t="s">
        <v>83</v>
      </c>
    </row>
    <row r="26" customFormat="false" ht="43.25" hidden="false" customHeight="false" outlineLevel="0" collapsed="false">
      <c r="A26" s="3" t="s">
        <v>86</v>
      </c>
      <c r="B26" s="3" t="s">
        <v>64</v>
      </c>
      <c r="C26" s="3" t="s">
        <v>32</v>
      </c>
      <c r="D26" s="3" t="n">
        <v>4</v>
      </c>
      <c r="E26" s="3" t="s">
        <v>17</v>
      </c>
      <c r="F26" s="4" t="n">
        <v>1</v>
      </c>
      <c r="G26" s="4" t="n">
        <v>1</v>
      </c>
      <c r="H26" s="4" t="n">
        <v>0</v>
      </c>
      <c r="I26" s="4" t="n">
        <v>2</v>
      </c>
      <c r="J26" s="4" t="n">
        <v>2</v>
      </c>
      <c r="K26" s="5" t="n">
        <f aca="false">SUM(F26:J26)</f>
        <v>6</v>
      </c>
      <c r="L26" s="7" t="s">
        <v>87</v>
      </c>
      <c r="M26" s="6" t="s">
        <v>83</v>
      </c>
    </row>
    <row r="27" customFormat="false" ht="43.25" hidden="false" customHeight="false" outlineLevel="0" collapsed="false">
      <c r="A27" s="3" t="s">
        <v>88</v>
      </c>
      <c r="B27" s="3" t="s">
        <v>64</v>
      </c>
      <c r="C27" s="3" t="s">
        <v>32</v>
      </c>
      <c r="D27" s="3" t="n">
        <v>5</v>
      </c>
      <c r="E27" s="3" t="s">
        <v>17</v>
      </c>
      <c r="F27" s="4" t="n">
        <v>1</v>
      </c>
      <c r="G27" s="4" t="n">
        <v>0</v>
      </c>
      <c r="H27" s="4" t="n">
        <v>0</v>
      </c>
      <c r="I27" s="4" t="n">
        <v>2</v>
      </c>
      <c r="J27" s="4" t="n">
        <v>2</v>
      </c>
      <c r="K27" s="5" t="n">
        <f aca="false">SUM(F27:J27)</f>
        <v>5</v>
      </c>
      <c r="L27" s="7" t="s">
        <v>89</v>
      </c>
      <c r="M27" s="6" t="s">
        <v>80</v>
      </c>
    </row>
    <row r="28" customFormat="false" ht="74.6" hidden="false" customHeight="false" outlineLevel="0" collapsed="false">
      <c r="A28" s="3" t="s">
        <v>90</v>
      </c>
      <c r="B28" s="3" t="s">
        <v>64</v>
      </c>
      <c r="C28" s="3" t="s">
        <v>48</v>
      </c>
      <c r="D28" s="3" t="n">
        <v>1</v>
      </c>
      <c r="E28" s="3" t="s">
        <v>17</v>
      </c>
      <c r="F28" s="4" t="n">
        <v>2</v>
      </c>
      <c r="G28" s="4" t="n">
        <v>1</v>
      </c>
      <c r="H28" s="4" t="n">
        <v>1</v>
      </c>
      <c r="I28" s="4" t="n">
        <v>2</v>
      </c>
      <c r="J28" s="4" t="n">
        <v>2</v>
      </c>
      <c r="K28" s="5" t="n">
        <f aca="false">SUM(F28:J28)</f>
        <v>8</v>
      </c>
      <c r="L28" s="6" t="s">
        <v>91</v>
      </c>
      <c r="M28" s="6" t="s">
        <v>19</v>
      </c>
    </row>
    <row r="29" customFormat="false" ht="53.7" hidden="false" customHeight="false" outlineLevel="0" collapsed="false">
      <c r="A29" s="3" t="s">
        <v>92</v>
      </c>
      <c r="B29" s="3" t="s">
        <v>64</v>
      </c>
      <c r="C29" s="3" t="s">
        <v>48</v>
      </c>
      <c r="D29" s="3" t="n">
        <v>2</v>
      </c>
      <c r="E29" s="3" t="s">
        <v>17</v>
      </c>
      <c r="F29" s="4" t="n">
        <v>1</v>
      </c>
      <c r="G29" s="4" t="n">
        <v>1</v>
      </c>
      <c r="H29" s="4" t="n">
        <v>0</v>
      </c>
      <c r="I29" s="4" t="n">
        <v>2</v>
      </c>
      <c r="J29" s="4" t="n">
        <v>2</v>
      </c>
      <c r="K29" s="5" t="n">
        <f aca="false">SUM(F29:J29)</f>
        <v>6</v>
      </c>
      <c r="L29" s="6" t="s">
        <v>93</v>
      </c>
      <c r="M29" s="6" t="s">
        <v>94</v>
      </c>
    </row>
    <row r="30" customFormat="false" ht="74.6" hidden="false" customHeight="false" outlineLevel="0" collapsed="false">
      <c r="A30" s="3" t="s">
        <v>95</v>
      </c>
      <c r="B30" s="3" t="s">
        <v>64</v>
      </c>
      <c r="C30" s="3" t="s">
        <v>48</v>
      </c>
      <c r="D30" s="3" t="n">
        <v>3</v>
      </c>
      <c r="E30" s="3" t="s">
        <v>33</v>
      </c>
      <c r="F30" s="4" t="n">
        <v>0</v>
      </c>
      <c r="G30" s="4" t="n">
        <v>1</v>
      </c>
      <c r="H30" s="4" t="n">
        <v>0</v>
      </c>
      <c r="I30" s="4" t="n">
        <v>2</v>
      </c>
      <c r="J30" s="4" t="n">
        <v>1</v>
      </c>
      <c r="K30" s="5" t="n">
        <f aca="false">SUM(F30:J30)</f>
        <v>4</v>
      </c>
      <c r="L30" s="6" t="s">
        <v>96</v>
      </c>
      <c r="M30" s="6" t="s">
        <v>97</v>
      </c>
    </row>
    <row r="31" customFormat="false" ht="105.95" hidden="false" customHeight="false" outlineLevel="0" collapsed="false">
      <c r="A31" s="3" t="s">
        <v>98</v>
      </c>
      <c r="B31" s="3" t="s">
        <v>64</v>
      </c>
      <c r="C31" s="3" t="s">
        <v>48</v>
      </c>
      <c r="D31" s="3" t="n">
        <v>4</v>
      </c>
      <c r="E31" s="3" t="s">
        <v>17</v>
      </c>
      <c r="F31" s="4" t="n">
        <v>1</v>
      </c>
      <c r="G31" s="4" t="n">
        <v>2</v>
      </c>
      <c r="H31" s="4" t="n">
        <v>2</v>
      </c>
      <c r="I31" s="4" t="n">
        <v>2</v>
      </c>
      <c r="J31" s="4" t="n">
        <v>1</v>
      </c>
      <c r="K31" s="5" t="n">
        <f aca="false">SUM(F31:J31)</f>
        <v>8</v>
      </c>
      <c r="L31" s="6" t="s">
        <v>99</v>
      </c>
      <c r="M31" s="6" t="s">
        <v>100</v>
      </c>
    </row>
    <row r="32" customFormat="false" ht="53.7" hidden="false" customHeight="false" outlineLevel="0" collapsed="false">
      <c r="A32" s="3" t="s">
        <v>101</v>
      </c>
      <c r="B32" s="3" t="s">
        <v>64</v>
      </c>
      <c r="C32" s="3" t="s">
        <v>48</v>
      </c>
      <c r="D32" s="3" t="n">
        <v>5</v>
      </c>
      <c r="E32" s="3" t="s">
        <v>17</v>
      </c>
      <c r="F32" s="4" t="n">
        <v>1</v>
      </c>
      <c r="G32" s="4" t="n">
        <v>1</v>
      </c>
      <c r="H32" s="4" t="n">
        <v>0</v>
      </c>
      <c r="I32" s="4" t="n">
        <v>2</v>
      </c>
      <c r="J32" s="4" t="n">
        <v>2</v>
      </c>
      <c r="K32" s="5" t="n">
        <f aca="false">SUM(F32:J32)</f>
        <v>6</v>
      </c>
      <c r="L32" s="6" t="s">
        <v>102</v>
      </c>
      <c r="M32" s="6" t="s">
        <v>103</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5"/>
    <col collapsed="false" customWidth="true" hidden="false" outlineLevel="0" max="4" min="4" style="0" width="9"/>
    <col collapsed="false" customWidth="true" hidden="false" outlineLevel="0" max="5" min="5" style="0" width="7"/>
    <col collapsed="false" customWidth="true" hidden="false" outlineLevel="0" max="6" min="6" style="0" width="8"/>
    <col collapsed="false" customWidth="true" hidden="false" outlineLevel="0" max="7" min="7" style="0" width="12"/>
    <col collapsed="false" customWidth="true" hidden="false" outlineLevel="0" max="12" min="8" style="0" width="8"/>
  </cols>
  <sheetData>
    <row r="1" customFormat="false" ht="15" hidden="false" customHeight="false" outlineLevel="0" collapsed="false">
      <c r="A1" s="8" t="s">
        <v>104</v>
      </c>
      <c r="B1" s="8"/>
      <c r="C1" s="8"/>
      <c r="D1" s="8"/>
      <c r="E1" s="8"/>
      <c r="F1" s="8"/>
      <c r="G1" s="8"/>
      <c r="H1" s="8"/>
      <c r="I1" s="8"/>
      <c r="J1" s="8"/>
      <c r="K1" s="8"/>
      <c r="L1" s="8"/>
    </row>
    <row r="2" customFormat="false" ht="26.85" hidden="false" customHeight="false" outlineLevel="0" collapsed="false">
      <c r="A2" s="2" t="s">
        <v>2</v>
      </c>
      <c r="B2" s="2" t="s">
        <v>3</v>
      </c>
      <c r="C2" s="2" t="s">
        <v>105</v>
      </c>
      <c r="D2" s="2" t="s">
        <v>106</v>
      </c>
      <c r="E2" s="2" t="s">
        <v>107</v>
      </c>
      <c r="F2" s="2" t="s">
        <v>108</v>
      </c>
      <c r="G2" s="2" t="s">
        <v>109</v>
      </c>
      <c r="H2" s="2" t="s">
        <v>110</v>
      </c>
      <c r="I2" s="2" t="s">
        <v>111</v>
      </c>
      <c r="J2" s="2" t="s">
        <v>112</v>
      </c>
      <c r="K2" s="2" t="s">
        <v>113</v>
      </c>
      <c r="L2" s="2" t="s">
        <v>114</v>
      </c>
    </row>
    <row r="3" customFormat="false" ht="15" hidden="false" customHeight="false" outlineLevel="0" collapsed="false">
      <c r="A3" s="9" t="s">
        <v>64</v>
      </c>
      <c r="B3" s="9" t="s">
        <v>48</v>
      </c>
      <c r="C3" s="9" t="n">
        <f aca="false">COUNTIFS(Оценки!$B$3:$B$32,A3,Оценки!$C$3:$C$32,B3)</f>
        <v>5</v>
      </c>
      <c r="D3" s="10" t="n">
        <f aca="false">AVERAGEIFS(Оценки!$K$3:$K$32,Оценки!$B$3:$B$32,A3,Оценки!$C$3:$C$32,B3)</f>
        <v>6.4</v>
      </c>
      <c r="E3" s="10" t="n">
        <f aca="false">SQRT((SUMPRODUCT((Оценки!$B$3:$B$32=A3)*(Оценки!$C$3:$C$32=B3)*Оценки!$K$3:$K$32^2)-C3*D3^2)/(C3-1))</f>
        <v>1.67332005306815</v>
      </c>
      <c r="F3" s="9" t="n">
        <f aca="false">COUNTIFS(Оценки!$B$3:$B$32,A3,Оценки!$C$3:$C$32,B3,Оценки!$E$3:$E$32,"отказ")</f>
        <v>0</v>
      </c>
      <c r="G3" s="9" t="n">
        <f aca="false">C3-COUNTIFS(Оценки!$B$3:$B$32,A3,Оценки!$C$3:$C$32,B3,Оценки!$E$3:$E$32,"ok")</f>
        <v>1</v>
      </c>
      <c r="H3" s="10" t="n">
        <f aca="false">AVERAGEIFS(Оценки!$F$3:$F$32,Оценки!$B$3:$B$32,A3,Оценки!$C$3:$C$32,B3)</f>
        <v>1</v>
      </c>
      <c r="I3" s="10" t="n">
        <f aca="false">AVERAGEIFS(Оценки!$G$3:$G$32,Оценки!$B$3:$B$32,A3,Оценки!$C$3:$C$32,B3)</f>
        <v>1.2</v>
      </c>
      <c r="J3" s="10" t="n">
        <f aca="false">AVERAGEIFS(Оценки!$H$3:$H$32,Оценки!$B$3:$B$32,A3,Оценки!$C$3:$C$32,B3)</f>
        <v>0.6</v>
      </c>
      <c r="K3" s="10" t="n">
        <f aca="false">AVERAGEIFS(Оценки!$I$3:$I$32,Оценки!$B$3:$B$32,A3,Оценки!$C$3:$C$32,B3)</f>
        <v>2</v>
      </c>
      <c r="L3" s="10" t="n">
        <f aca="false">AVERAGEIFS(Оценки!$J$3:$J$32,Оценки!$B$3:$B$32,A3,Оценки!$C$3:$C$32,B3)</f>
        <v>1.6</v>
      </c>
    </row>
    <row r="4" customFormat="false" ht="15" hidden="false" customHeight="false" outlineLevel="0" collapsed="false">
      <c r="A4" s="9" t="s">
        <v>64</v>
      </c>
      <c r="B4" s="9" t="s">
        <v>16</v>
      </c>
      <c r="C4" s="9" t="n">
        <f aca="false">COUNTIFS(Оценки!$B$3:$B$32,A4,Оценки!$C$3:$C$32,B4)</f>
        <v>5</v>
      </c>
      <c r="D4" s="10" t="n">
        <f aca="false">AVERAGEIFS(Оценки!$K$3:$K$32,Оценки!$B$3:$B$32,A4,Оценки!$C$3:$C$32,B4)</f>
        <v>7.8</v>
      </c>
      <c r="E4" s="10" t="n">
        <f aca="false">SQRT((SUMPRODUCT((Оценки!$B$3:$B$32=A4)*(Оценки!$C$3:$C$32=B4)*Оценки!$K$3:$K$32^2)-C4*D4^2)/(C4-1))</f>
        <v>0.836660026534077</v>
      </c>
      <c r="F4" s="9" t="n">
        <f aca="false">COUNTIFS(Оценки!$B$3:$B$32,A4,Оценки!$C$3:$C$32,B4,Оценки!$E$3:$E$32,"отказ")</f>
        <v>0</v>
      </c>
      <c r="G4" s="9" t="n">
        <f aca="false">C4-COUNTIFS(Оценки!$B$3:$B$32,A4,Оценки!$C$3:$C$32,B4,Оценки!$E$3:$E$32,"ok")</f>
        <v>0</v>
      </c>
      <c r="H4" s="10" t="n">
        <f aca="false">AVERAGEIFS(Оценки!$F$3:$F$32,Оценки!$B$3:$B$32,A4,Оценки!$C$3:$C$32,B4)</f>
        <v>1.2</v>
      </c>
      <c r="I4" s="10" t="n">
        <f aca="false">AVERAGEIFS(Оценки!$G$3:$G$32,Оценки!$B$3:$B$32,A4,Оценки!$C$3:$C$32,B4)</f>
        <v>1.4</v>
      </c>
      <c r="J4" s="10" t="n">
        <f aca="false">AVERAGEIFS(Оценки!$H$3:$H$32,Оценки!$B$3:$B$32,A4,Оценки!$C$3:$C$32,B4)</f>
        <v>1.2</v>
      </c>
      <c r="K4" s="10" t="n">
        <f aca="false">AVERAGEIFS(Оценки!$I$3:$I$32,Оценки!$B$3:$B$32,A4,Оценки!$C$3:$C$32,B4)</f>
        <v>2</v>
      </c>
      <c r="L4" s="10" t="n">
        <f aca="false">AVERAGEIFS(Оценки!$J$3:$J$32,Оценки!$B$3:$B$32,A4,Оценки!$C$3:$C$32,B4)</f>
        <v>2</v>
      </c>
    </row>
    <row r="5" customFormat="false" ht="15" hidden="false" customHeight="false" outlineLevel="0" collapsed="false">
      <c r="A5" s="9" t="s">
        <v>64</v>
      </c>
      <c r="B5" s="9" t="s">
        <v>32</v>
      </c>
      <c r="C5" s="9" t="n">
        <f aca="false">COUNTIFS(Оценки!$B$3:$B$32,A5,Оценки!$C$3:$C$32,B5)</f>
        <v>5</v>
      </c>
      <c r="D5" s="10" t="n">
        <f aca="false">AVERAGEIFS(Оценки!$K$3:$K$32,Оценки!$B$3:$B$32,A5,Оценки!$C$3:$C$32,B5)</f>
        <v>6</v>
      </c>
      <c r="E5" s="10" t="n">
        <f aca="false">SQRT((SUMPRODUCT((Оценки!$B$3:$B$32=A5)*(Оценки!$C$3:$C$32=B5)*Оценки!$K$3:$K$32^2)-C5*D5^2)/(C5-1))</f>
        <v>1.22474487139159</v>
      </c>
      <c r="F5" s="9" t="n">
        <f aca="false">COUNTIFS(Оценки!$B$3:$B$32,A5,Оценки!$C$3:$C$32,B5,Оценки!$E$3:$E$32,"отказ")</f>
        <v>0</v>
      </c>
      <c r="G5" s="9" t="n">
        <f aca="false">C5-COUNTIFS(Оценки!$B$3:$B$32,A5,Оценки!$C$3:$C$32,B5,Оценки!$E$3:$E$32,"ok")</f>
        <v>0</v>
      </c>
      <c r="H5" s="10" t="n">
        <f aca="false">AVERAGEIFS(Оценки!$F$3:$F$32,Оценки!$B$3:$B$32,A5,Оценки!$C$3:$C$32,B5)</f>
        <v>1</v>
      </c>
      <c r="I5" s="10" t="n">
        <f aca="false">AVERAGEIFS(Оценки!$G$3:$G$32,Оценки!$B$3:$B$32,A5,Оценки!$C$3:$C$32,B5)</f>
        <v>0.8</v>
      </c>
      <c r="J5" s="10" t="n">
        <f aca="false">AVERAGEIFS(Оценки!$H$3:$H$32,Оценки!$B$3:$B$32,A5,Оценки!$C$3:$C$32,B5)</f>
        <v>0.2</v>
      </c>
      <c r="K5" s="10" t="n">
        <f aca="false">AVERAGEIFS(Оценки!$I$3:$I$32,Оценки!$B$3:$B$32,A5,Оценки!$C$3:$C$32,B5)</f>
        <v>2</v>
      </c>
      <c r="L5" s="10" t="n">
        <f aca="false">AVERAGEIFS(Оценки!$J$3:$J$32,Оценки!$B$3:$B$32,A5,Оценки!$C$3:$C$32,B5)</f>
        <v>2</v>
      </c>
    </row>
    <row r="6" customFormat="false" ht="15" hidden="false" customHeight="false" outlineLevel="0" collapsed="false">
      <c r="A6" s="9" t="s">
        <v>15</v>
      </c>
      <c r="B6" s="9" t="s">
        <v>48</v>
      </c>
      <c r="C6" s="9" t="n">
        <f aca="false">COUNTIFS(Оценки!$B$3:$B$32,A6,Оценки!$C$3:$C$32,B6)</f>
        <v>5</v>
      </c>
      <c r="D6" s="10" t="n">
        <f aca="false">AVERAGEIFS(Оценки!$K$3:$K$32,Оценки!$B$3:$B$32,A6,Оценки!$C$3:$C$32,B6)</f>
        <v>7</v>
      </c>
      <c r="E6" s="10" t="n">
        <f aca="false">SQRT((SUMPRODUCT((Оценки!$B$3:$B$32=A6)*(Оценки!$C$3:$C$32=B6)*Оценки!$K$3:$K$32^2)-C6*D6^2)/(C6-1))</f>
        <v>1.22474487139159</v>
      </c>
      <c r="F6" s="9" t="n">
        <f aca="false">COUNTIFS(Оценки!$B$3:$B$32,A6,Оценки!$C$3:$C$32,B6,Оценки!$E$3:$E$32,"отказ")</f>
        <v>0</v>
      </c>
      <c r="G6" s="9" t="n">
        <f aca="false">C6-COUNTIFS(Оценки!$B$3:$B$32,A6,Оценки!$C$3:$C$32,B6,Оценки!$E$3:$E$32,"ok")</f>
        <v>2</v>
      </c>
      <c r="H6" s="10" t="n">
        <f aca="false">AVERAGEIFS(Оценки!$F$3:$F$32,Оценки!$B$3:$B$32,A6,Оценки!$C$3:$C$32,B6)</f>
        <v>0.8</v>
      </c>
      <c r="I6" s="10" t="n">
        <f aca="false">AVERAGEIFS(Оценки!$G$3:$G$32,Оценки!$B$3:$B$32,A6,Оценки!$C$3:$C$32,B6)</f>
        <v>1.4</v>
      </c>
      <c r="J6" s="10" t="n">
        <f aca="false">AVERAGEIFS(Оценки!$H$3:$H$32,Оценки!$B$3:$B$32,A6,Оценки!$C$3:$C$32,B6)</f>
        <v>1.2</v>
      </c>
      <c r="K6" s="10" t="n">
        <f aca="false">AVERAGEIFS(Оценки!$I$3:$I$32,Оценки!$B$3:$B$32,A6,Оценки!$C$3:$C$32,B6)</f>
        <v>1.8</v>
      </c>
      <c r="L6" s="10" t="n">
        <f aca="false">AVERAGEIFS(Оценки!$J$3:$J$32,Оценки!$B$3:$B$32,A6,Оценки!$C$3:$C$32,B6)</f>
        <v>1.8</v>
      </c>
    </row>
    <row r="7" customFormat="false" ht="15" hidden="false" customHeight="false" outlineLevel="0" collapsed="false">
      <c r="A7" s="9" t="s">
        <v>15</v>
      </c>
      <c r="B7" s="9" t="s">
        <v>16</v>
      </c>
      <c r="C7" s="9" t="n">
        <f aca="false">COUNTIFS(Оценки!$B$3:$B$32,A7,Оценки!$C$3:$C$32,B7)</f>
        <v>5</v>
      </c>
      <c r="D7" s="10" t="n">
        <f aca="false">AVERAGEIFS(Оценки!$K$3:$K$32,Оценки!$B$3:$B$32,A7,Оценки!$C$3:$C$32,B7)</f>
        <v>7.8</v>
      </c>
      <c r="E7" s="10" t="n">
        <f aca="false">SQRT((SUMPRODUCT((Оценки!$B$3:$B$32=A7)*(Оценки!$C$3:$C$32=B7)*Оценки!$K$3:$K$32^2)-C7*D7^2)/(C7-1))</f>
        <v>0.836660026534077</v>
      </c>
      <c r="F7" s="9" t="n">
        <f aca="false">COUNTIFS(Оценки!$B$3:$B$32,A7,Оценки!$C$3:$C$32,B7,Оценки!$E$3:$E$32,"отказ")</f>
        <v>0</v>
      </c>
      <c r="G7" s="9" t="n">
        <f aca="false">C7-COUNTIFS(Оценки!$B$3:$B$32,A7,Оценки!$C$3:$C$32,B7,Оценки!$E$3:$E$32,"ok")</f>
        <v>0</v>
      </c>
      <c r="H7" s="10" t="n">
        <f aca="false">AVERAGEIFS(Оценки!$F$3:$F$32,Оценки!$B$3:$B$32,A7,Оценки!$C$3:$C$32,B7)</f>
        <v>1.2</v>
      </c>
      <c r="I7" s="10" t="n">
        <f aca="false">AVERAGEIFS(Оценки!$G$3:$G$32,Оценки!$B$3:$B$32,A7,Оценки!$C$3:$C$32,B7)</f>
        <v>1.4</v>
      </c>
      <c r="J7" s="10" t="n">
        <f aca="false">AVERAGEIFS(Оценки!$H$3:$H$32,Оценки!$B$3:$B$32,A7,Оценки!$C$3:$C$32,B7)</f>
        <v>1.2</v>
      </c>
      <c r="K7" s="10" t="n">
        <f aca="false">AVERAGEIFS(Оценки!$I$3:$I$32,Оценки!$B$3:$B$32,A7,Оценки!$C$3:$C$32,B7)</f>
        <v>2</v>
      </c>
      <c r="L7" s="10" t="n">
        <f aca="false">AVERAGEIFS(Оценки!$J$3:$J$32,Оценки!$B$3:$B$32,A7,Оценки!$C$3:$C$32,B7)</f>
        <v>2</v>
      </c>
    </row>
    <row r="8" customFormat="false" ht="15" hidden="false" customHeight="false" outlineLevel="0" collapsed="false">
      <c r="A8" s="9" t="s">
        <v>15</v>
      </c>
      <c r="B8" s="9" t="s">
        <v>32</v>
      </c>
      <c r="C8" s="9" t="n">
        <f aca="false">COUNTIFS(Оценки!$B$3:$B$32,A8,Оценки!$C$3:$C$32,B8)</f>
        <v>5</v>
      </c>
      <c r="D8" s="10" t="n">
        <f aca="false">AVERAGEIFS(Оценки!$K$3:$K$32,Оценки!$B$3:$B$32,A8,Оценки!$C$3:$C$32,B8)</f>
        <v>1.8</v>
      </c>
      <c r="E8" s="10" t="n">
        <f aca="false">SQRT((SUMPRODUCT((Оценки!$B$3:$B$32=A8)*(Оценки!$C$3:$C$32=B8)*Оценки!$K$3:$K$32^2)-C8*D8^2)/(C8-1))</f>
        <v>1.78885438199983</v>
      </c>
      <c r="F8" s="9" t="n">
        <f aca="false">COUNTIFS(Оценки!$B$3:$B$32,A8,Оценки!$C$3:$C$32,B8,Оценки!$E$3:$E$32,"отказ")</f>
        <v>1</v>
      </c>
      <c r="G8" s="9" t="n">
        <f aca="false">C8-COUNTIFS(Оценки!$B$3:$B$32,A8,Оценки!$C$3:$C$32,B8,Оценки!$E$3:$E$32,"ok")</f>
        <v>5</v>
      </c>
      <c r="H8" s="10" t="n">
        <f aca="false">AVERAGEIFS(Оценки!$F$3:$F$32,Оценки!$B$3:$B$32,A8,Оценки!$C$3:$C$32,B8)</f>
        <v>0</v>
      </c>
      <c r="I8" s="10" t="n">
        <f aca="false">AVERAGEIFS(Оценки!$G$3:$G$32,Оценки!$B$3:$B$32,A8,Оценки!$C$3:$C$32,B8)</f>
        <v>0.4</v>
      </c>
      <c r="J8" s="10" t="n">
        <f aca="false">AVERAGEIFS(Оценки!$H$3:$H$32,Оценки!$B$3:$B$32,A8,Оценки!$C$3:$C$32,B8)</f>
        <v>0</v>
      </c>
      <c r="K8" s="10" t="n">
        <f aca="false">AVERAGEIFS(Оценки!$I$3:$I$32,Оценки!$B$3:$B$32,A8,Оценки!$C$3:$C$32,B8)</f>
        <v>0.6</v>
      </c>
      <c r="L8" s="10" t="n">
        <f aca="false">AVERAGEIFS(Оценки!$J$3:$J$32,Оценки!$B$3:$B$32,A8,Оценки!$C$3:$C$32,B8)</f>
        <v>0.8</v>
      </c>
    </row>
    <row r="9" customFormat="false" ht="15" hidden="false" customHeight="false" outlineLevel="0" collapsed="false">
      <c r="A9" s="9"/>
      <c r="B9" s="9"/>
      <c r="C9" s="9"/>
      <c r="D9" s="10"/>
      <c r="E9" s="10"/>
      <c r="F9" s="9"/>
      <c r="G9" s="9"/>
      <c r="H9" s="10"/>
      <c r="I9" s="10"/>
      <c r="J9" s="10"/>
      <c r="K9" s="10"/>
      <c r="L9" s="10"/>
    </row>
    <row r="10" customFormat="false" ht="26.85" hidden="false" customHeight="false" outlineLevel="0" collapsed="false">
      <c r="A10" s="11" t="s">
        <v>115</v>
      </c>
      <c r="B10" s="11" t="s">
        <v>116</v>
      </c>
      <c r="C10" s="11" t="s">
        <v>105</v>
      </c>
      <c r="D10" s="12" t="s">
        <v>106</v>
      </c>
      <c r="E10" s="12" t="s">
        <v>107</v>
      </c>
      <c r="F10" s="9"/>
      <c r="G10" s="9"/>
      <c r="H10" s="10"/>
      <c r="I10" s="10"/>
      <c r="J10" s="10"/>
      <c r="K10" s="10"/>
      <c r="L10" s="10"/>
    </row>
    <row r="11" customFormat="false" ht="15" hidden="false" customHeight="false" outlineLevel="0" collapsed="false">
      <c r="A11" s="9" t="s">
        <v>3</v>
      </c>
      <c r="B11" s="9" t="s">
        <v>48</v>
      </c>
      <c r="C11" s="9" t="n">
        <f aca="false">COUNTIF(Оценки!$C$3:$C$32,B11)</f>
        <v>10</v>
      </c>
      <c r="D11" s="10" t="n">
        <f aca="false">AVERAGEIF(Оценки!$C$3:$C$32,B11,Оценки!$K$3:$K$32)</f>
        <v>6.7</v>
      </c>
      <c r="E11" s="10" t="n">
        <f aca="false">SQRT((SUMPRODUCT((Оценки!$C$3:$C$32=B11)*Оценки!$K$3:$K$32^2)-C11*D11^2)/(C11-1))</f>
        <v>1.41813649241218</v>
      </c>
      <c r="F11" s="9"/>
      <c r="G11" s="9"/>
      <c r="H11" s="10"/>
      <c r="I11" s="10"/>
      <c r="J11" s="10"/>
      <c r="K11" s="10"/>
      <c r="L11" s="10"/>
    </row>
    <row r="12" customFormat="false" ht="15" hidden="false" customHeight="false" outlineLevel="0" collapsed="false">
      <c r="A12" s="9" t="s">
        <v>3</v>
      </c>
      <c r="B12" s="9" t="s">
        <v>16</v>
      </c>
      <c r="C12" s="9" t="n">
        <f aca="false">COUNTIF(Оценки!$C$3:$C$32,B12)</f>
        <v>10</v>
      </c>
      <c r="D12" s="10" t="n">
        <f aca="false">AVERAGEIF(Оценки!$C$3:$C$32,B12,Оценки!$K$3:$K$32)</f>
        <v>7.8</v>
      </c>
      <c r="E12" s="10" t="n">
        <f aca="false">SQRT((SUMPRODUCT((Оценки!$C$3:$C$32=B12)*Оценки!$K$3:$K$32^2)-C12*D12^2)/(C12-1))</f>
        <v>0.788810637746617</v>
      </c>
      <c r="F12" s="9"/>
      <c r="G12" s="9"/>
      <c r="H12" s="10"/>
      <c r="I12" s="10"/>
      <c r="J12" s="10"/>
      <c r="K12" s="10"/>
      <c r="L12" s="10"/>
    </row>
    <row r="13" customFormat="false" ht="15" hidden="false" customHeight="false" outlineLevel="0" collapsed="false">
      <c r="A13" s="9" t="s">
        <v>3</v>
      </c>
      <c r="B13" s="9" t="s">
        <v>32</v>
      </c>
      <c r="C13" s="9" t="n">
        <f aca="false">COUNTIF(Оценки!$C$3:$C$32,B13)</f>
        <v>10</v>
      </c>
      <c r="D13" s="10" t="n">
        <f aca="false">AVERAGEIF(Оценки!$C$3:$C$32,B13,Оценки!$K$3:$K$32)</f>
        <v>3.9</v>
      </c>
      <c r="E13" s="10" t="n">
        <f aca="false">SQRT((SUMPRODUCT((Оценки!$C$3:$C$32=B13)*Оценки!$K$3:$K$32^2)-C13*D13^2)/(C13-1))</f>
        <v>2.64365067451978</v>
      </c>
      <c r="F13" s="9"/>
      <c r="G13" s="9"/>
      <c r="H13" s="10"/>
      <c r="I13" s="10"/>
      <c r="J13" s="10"/>
      <c r="K13" s="10"/>
      <c r="L13" s="10"/>
    </row>
    <row r="14" customFormat="false" ht="15" hidden="false" customHeight="false" outlineLevel="0" collapsed="false">
      <c r="A14" s="9" t="s">
        <v>2</v>
      </c>
      <c r="B14" s="9" t="s">
        <v>64</v>
      </c>
      <c r="C14" s="9" t="n">
        <f aca="false">COUNTIF(Оценки!$B$3:$B$32,B14)</f>
        <v>15</v>
      </c>
      <c r="D14" s="10" t="n">
        <f aca="false">AVERAGEIF(Оценки!$B$3:$B$32,B14,Оценки!$K$3:$K$32)</f>
        <v>6.73333333333333</v>
      </c>
      <c r="E14" s="10" t="n">
        <f aca="false">SQRT((SUMPRODUCT((Оценки!$B$3:$B$32=B14)*Оценки!$K$3:$K$32^2)-C14*D14^2)/(C14-1))</f>
        <v>1.43759057685652</v>
      </c>
      <c r="F14" s="9"/>
      <c r="G14" s="9"/>
      <c r="H14" s="10"/>
      <c r="I14" s="10"/>
      <c r="J14" s="10"/>
      <c r="K14" s="10"/>
      <c r="L14" s="10"/>
    </row>
    <row r="15" customFormat="false" ht="15" hidden="false" customHeight="false" outlineLevel="0" collapsed="false">
      <c r="A15" s="9" t="s">
        <v>2</v>
      </c>
      <c r="B15" s="9" t="s">
        <v>15</v>
      </c>
      <c r="C15" s="9" t="n">
        <f aca="false">COUNTIF(Оценки!$B$3:$B$32,B15)</f>
        <v>15</v>
      </c>
      <c r="D15" s="10" t="n">
        <f aca="false">AVERAGEIF(Оценки!$B$3:$B$32,B15,Оценки!$K$3:$K$32)</f>
        <v>5.53333333333333</v>
      </c>
      <c r="E15" s="10" t="n">
        <f aca="false">SQRT((SUMPRODUCT((Оценки!$B$3:$B$32=B15)*Оценки!$K$3:$K$32^2)-C15*D15^2)/(C15-1))</f>
        <v>3.02056443795022</v>
      </c>
      <c r="F15" s="9"/>
      <c r="G15" s="9"/>
      <c r="H15" s="10"/>
      <c r="I15" s="10"/>
      <c r="J15" s="10"/>
      <c r="K15" s="10"/>
      <c r="L15" s="10"/>
    </row>
    <row r="16" customFormat="false" ht="15" hidden="false" customHeight="false" outlineLevel="0" collapsed="false">
      <c r="A16" s="9"/>
      <c r="B16" s="9"/>
      <c r="C16" s="9"/>
      <c r="D16" s="10"/>
      <c r="E16" s="10"/>
      <c r="F16" s="9"/>
      <c r="G16" s="9"/>
      <c r="H16" s="10"/>
      <c r="I16" s="10"/>
      <c r="J16" s="10"/>
      <c r="K16" s="10"/>
      <c r="L16" s="10"/>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5"/>
    <col collapsed="false" customWidth="true" hidden="false" outlineLevel="0" max="4" min="3" style="0" width="40"/>
  </cols>
  <sheetData>
    <row r="1" customFormat="false" ht="15" hidden="false" customHeight="false" outlineLevel="0" collapsed="false">
      <c r="A1" s="13" t="s">
        <v>117</v>
      </c>
      <c r="B1" s="13" t="s">
        <v>118</v>
      </c>
      <c r="C1" s="13" t="s">
        <v>119</v>
      </c>
      <c r="D1" s="13" t="s">
        <v>120</v>
      </c>
    </row>
    <row r="2" customFormat="false" ht="26.85" hidden="false" customHeight="false" outlineLevel="0" collapsed="false">
      <c r="A2" s="13" t="s">
        <v>121</v>
      </c>
      <c r="B2" s="14" t="s">
        <v>122</v>
      </c>
      <c r="C2" s="14" t="s">
        <v>123</v>
      </c>
      <c r="D2" s="14" t="s">
        <v>124</v>
      </c>
    </row>
    <row r="3" customFormat="false" ht="26.85" hidden="false" customHeight="false" outlineLevel="0" collapsed="false">
      <c r="A3" s="13" t="s">
        <v>125</v>
      </c>
      <c r="B3" s="14" t="s">
        <v>126</v>
      </c>
      <c r="C3" s="14" t="s">
        <v>127</v>
      </c>
      <c r="D3" s="14" t="s">
        <v>128</v>
      </c>
    </row>
    <row r="4" customFormat="false" ht="15" hidden="false" customHeight="false" outlineLevel="0" collapsed="false">
      <c r="A4" s="13" t="s">
        <v>129</v>
      </c>
      <c r="B4" s="14" t="s">
        <v>130</v>
      </c>
      <c r="C4" s="14" t="s">
        <v>131</v>
      </c>
      <c r="D4" s="14" t="s">
        <v>132</v>
      </c>
    </row>
    <row r="5" customFormat="false" ht="39.55" hidden="false" customHeight="false" outlineLevel="0" collapsed="false">
      <c r="A5" s="13" t="s">
        <v>133</v>
      </c>
      <c r="B5" s="14" t="s">
        <v>134</v>
      </c>
      <c r="C5" s="14" t="s">
        <v>135</v>
      </c>
      <c r="D5" s="14" t="s">
        <v>136</v>
      </c>
    </row>
    <row r="6" customFormat="false" ht="26.85" hidden="false" customHeight="false" outlineLevel="0" collapsed="false">
      <c r="A6" s="13" t="s">
        <v>137</v>
      </c>
      <c r="B6" s="14" t="s">
        <v>138</v>
      </c>
      <c r="C6" s="14" t="s">
        <v>139</v>
      </c>
      <c r="D6" s="14"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2026-10-22T09:13:03Z</dcterms:created>
  <dc:creator>openpyxl</dc:creator>
  <dc:description/>
  <dc:language>en-US</dc:language>
  <cp:lastModifiedBy/>
  <dcterms:modified xsi:type="dcterms:W3CDTF">2026-10-22T09:13:03Z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